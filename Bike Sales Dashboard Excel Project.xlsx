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Vishal Pc\Downloads\"/>
    </mc:Choice>
  </mc:AlternateContent>
  <xr:revisionPtr revIDLastSave="0" documentId="13_ncr:1_{339EC904-BC10-4560-9B30-EB14650AAFC0}" xr6:coauthVersionLast="47" xr6:coauthVersionMax="47" xr10:uidLastSave="{00000000-0000-0000-0000-000000000000}"/>
  <bookViews>
    <workbookView xWindow="-120" yWindow="-120" windowWidth="29040" windowHeight="15960" activeTab="3" xr2:uid="{00000000-000D-0000-FFFF-FFFF00000000}"/>
  </bookViews>
  <sheets>
    <sheet name="bike_buyers" sheetId="1" r:id="rId1"/>
    <sheet name="Working sheet" sheetId="2" r:id="rId2"/>
    <sheet name="Pivot" sheetId="5" r:id="rId3"/>
    <sheet name="Dashboard"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<sst xmlns="http://schemas.openxmlformats.org/spreadsheetml/2006/main" count="16482" uniqueCount="50">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</sst>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Border="1"/>
    <xf numFmtId="0" fontId="19" fillId="34" borderId="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Pivot!$B$2:$B$3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Pivot!$A$4:$A$6</c:f>
              <c:strCache>
                <c:ptCount val="2"/>
                <c:pt idx="0">
                  <c:v>Female</c:v>
                </c:pt>
                <c:pt idx="1">
                  <c:v>Male</c:v>
                </c:pt>
              </c:strCache>
            </c:strRef>
          </c:cat>
          <c:val>
            <c:numRef>
              <c:f>Pivot!$B$4:$B$6</c:f>
              <c:numCache>
                <c:formatCode>_-[$$-409]* #,##0_ ;_-[$$-409]* \-#,##0\ ;_-[$$-409]* "-"??_ ;_-@_ </c:formatCode>
                <c:ptCount val="2"/>
                <c:pt idx="0">
                  <c:v>53449.612403100778</c:v>
                </c:pt>
                <c:pt idx="1">
                  <c:v>56520.146520146518</c:v>
                </c:pt>
              </c:numCache>
            </c:numRef>
          </c:val>
          <c:extLst>
            <c:ext xmlns:c16="http://schemas.microsoft.com/office/drawing/2014/chart" uri="{C3380CC4-5D6E-409C-BE32-E72D297353CC}">
              <c16:uniqueId val="{00000000-4417-4399-981E-9D1BADC3C606}"/>
            </c:ext>
          </c:extLst>
        </c:ser>
        <c:ser>
          <c:idx val="1"/>
          <c:order val="1"/>
          <c:tx>
            <c:strRef>
              <c:f>Pivot!$C$2:$C$3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Pivot!$A$4:$A$6</c:f>
              <c:strCache>
                <c:ptCount val="2"/>
                <c:pt idx="0">
                  <c:v>Female</c:v>
                </c:pt>
                <c:pt idx="1">
                  <c:v>Male</c:v>
                </c:pt>
              </c:strCache>
            </c:strRef>
          </c:cat>
          <c:val>
            <c:numRef>
              <c:f>Pivot!$C$4:$C$6</c:f>
              <c:numCache>
                <c:formatCode>_-[$$-409]* #,##0_ ;_-[$$-409]* \-#,##0\ ;_-[$$-409]* "-"??_ ;_-@_ </c:formatCode>
                <c:ptCount val="2"/>
                <c:pt idx="0">
                  <c:v>55267.489711934155</c:v>
                </c:pt>
                <c:pt idx="1">
                  <c:v>59603.174603174601</c:v>
                </c:pt>
              </c:numCache>
            </c:numRef>
          </c:val>
          <c:extLst>
            <c:ext xmlns:c16="http://schemas.microsoft.com/office/drawing/2014/chart" uri="{C3380CC4-5D6E-409C-BE32-E72D297353CC}">
              <c16:uniqueId val="{00000001-4417-4399-981E-9D1BADC3C606}"/>
            </c:ext>
          </c:extLst>
        </c:ser>
        <c:dLbls>
          <c:dLblPos val="outEnd"/>
          <c:showLegendKey val="0"/>
          <c:showVal val="1"/>
          <c:showCatName val="0"/>
          <c:showSerName val="0"/>
          <c:showPercent val="0"/>
          <c:showBubbleSize val="0"/>
        </c:dLbls>
        <c:gapWidth val="219"/>
        <c:overlap val="-27"/>
        <c:axId val="960295583"/>
        <c:axId val="960295103"/>
      </c:barChart>
      <c:catAx>
        <c:axId val="960295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8696840167706307"/>
              <c:y val="0.804455253904072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295103"/>
        <c:crosses val="autoZero"/>
        <c:auto val="1"/>
        <c:lblAlgn val="ctr"/>
        <c:lblOffset val="100"/>
        <c:noMultiLvlLbl val="0"/>
      </c:catAx>
      <c:valAx>
        <c:axId val="960295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295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Pivot!$B$20:$B$21</c:f>
              <c:strCache>
                <c:ptCount val="1"/>
                <c:pt idx="0">
                  <c:v>No</c:v>
                </c:pt>
              </c:strCache>
            </c:strRef>
          </c:tx>
          <c:spPr>
            <a:ln w="28575" cap="rnd">
              <a:solidFill>
                <a:schemeClr val="accent1"/>
              </a:solidFill>
              <a:round/>
            </a:ln>
            <a:effectLst/>
          </c:spPr>
          <c:marker>
            <c:symbol val="none"/>
          </c:marker>
          <c:cat>
            <c:strRef>
              <c:f>Pivot!$A$22:$A$27</c:f>
              <c:strCache>
                <c:ptCount val="5"/>
                <c:pt idx="0">
                  <c:v>0-1 Miles</c:v>
                </c:pt>
                <c:pt idx="1">
                  <c:v>10+ Miles</c:v>
                </c:pt>
                <c:pt idx="2">
                  <c:v>1-2 Miles</c:v>
                </c:pt>
                <c:pt idx="3">
                  <c:v>2-5 Miles</c:v>
                </c:pt>
                <c:pt idx="4">
                  <c:v>5-10 Miles</c:v>
                </c:pt>
              </c:strCache>
            </c:strRef>
          </c:cat>
          <c:val>
            <c:numRef>
              <c:f>Pivot!$B$22:$B$27</c:f>
              <c:numCache>
                <c:formatCode>General</c:formatCode>
                <c:ptCount val="5"/>
                <c:pt idx="0">
                  <c:v>171</c:v>
                </c:pt>
                <c:pt idx="1">
                  <c:v>80</c:v>
                </c:pt>
                <c:pt idx="2">
                  <c:v>93</c:v>
                </c:pt>
                <c:pt idx="3">
                  <c:v>67</c:v>
                </c:pt>
                <c:pt idx="4">
                  <c:v>120</c:v>
                </c:pt>
              </c:numCache>
            </c:numRef>
          </c:val>
          <c:smooth val="0"/>
          <c:extLst>
            <c:ext xmlns:c16="http://schemas.microsoft.com/office/drawing/2014/chart" uri="{C3380CC4-5D6E-409C-BE32-E72D297353CC}">
              <c16:uniqueId val="{00000000-391B-472F-BBA9-A2D10C49C005}"/>
            </c:ext>
          </c:extLst>
        </c:ser>
        <c:ser>
          <c:idx val="1"/>
          <c:order val="1"/>
          <c:tx>
            <c:strRef>
              <c:f>Pivot!$C$20:$C$21</c:f>
              <c:strCache>
                <c:ptCount val="1"/>
                <c:pt idx="0">
                  <c:v>Yes</c:v>
                </c:pt>
              </c:strCache>
            </c:strRef>
          </c:tx>
          <c:spPr>
            <a:ln w="28575" cap="rnd">
              <a:solidFill>
                <a:schemeClr val="accent2"/>
              </a:solidFill>
              <a:round/>
            </a:ln>
            <a:effectLst/>
          </c:spPr>
          <c:marker>
            <c:symbol val="none"/>
          </c:marker>
          <c:cat>
            <c:strRef>
              <c:f>Pivot!$A$22:$A$27</c:f>
              <c:strCache>
                <c:ptCount val="5"/>
                <c:pt idx="0">
                  <c:v>0-1 Miles</c:v>
                </c:pt>
                <c:pt idx="1">
                  <c:v>10+ Miles</c:v>
                </c:pt>
                <c:pt idx="2">
                  <c:v>1-2 Miles</c:v>
                </c:pt>
                <c:pt idx="3">
                  <c:v>2-5 Miles</c:v>
                </c:pt>
                <c:pt idx="4">
                  <c:v>5-10 Miles</c:v>
                </c:pt>
              </c:strCache>
            </c:strRef>
          </c:cat>
          <c:val>
            <c:numRef>
              <c:f>Pivot!$C$22:$C$27</c:f>
              <c:numCache>
                <c:formatCode>General</c:formatCode>
                <c:ptCount val="5"/>
                <c:pt idx="0">
                  <c:v>207</c:v>
                </c:pt>
                <c:pt idx="1">
                  <c:v>33</c:v>
                </c:pt>
                <c:pt idx="2">
                  <c:v>83</c:v>
                </c:pt>
                <c:pt idx="3">
                  <c:v>95</c:v>
                </c:pt>
                <c:pt idx="4">
                  <c:v>77</c:v>
                </c:pt>
              </c:numCache>
            </c:numRef>
          </c:val>
          <c:smooth val="0"/>
          <c:extLst>
            <c:ext xmlns:c16="http://schemas.microsoft.com/office/drawing/2014/chart" uri="{C3380CC4-5D6E-409C-BE32-E72D297353CC}">
              <c16:uniqueId val="{00000001-391B-472F-BBA9-A2D10C49C005}"/>
            </c:ext>
          </c:extLst>
        </c:ser>
        <c:dLbls>
          <c:showLegendKey val="0"/>
          <c:showVal val="0"/>
          <c:showCatName val="0"/>
          <c:showSerName val="0"/>
          <c:showPercent val="0"/>
          <c:showBubbleSize val="0"/>
        </c:dLbls>
        <c:smooth val="0"/>
        <c:axId val="199612879"/>
        <c:axId val="199610479"/>
      </c:lineChart>
      <c:catAx>
        <c:axId val="199612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10479"/>
        <c:crosses val="autoZero"/>
        <c:auto val="1"/>
        <c:lblAlgn val="ctr"/>
        <c:lblOffset val="100"/>
        <c:noMultiLvlLbl val="0"/>
      </c:catAx>
      <c:valAx>
        <c:axId val="19961047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1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Pivot!$A$37:$A$40</c:f>
              <c:strCache>
                <c:ptCount val="3"/>
                <c:pt idx="0">
                  <c:v>Adolescent</c:v>
                </c:pt>
                <c:pt idx="1">
                  <c:v>Middle Age</c:v>
                </c:pt>
                <c:pt idx="2">
                  <c:v>Old</c:v>
                </c:pt>
              </c:strCache>
            </c:strRef>
          </c:cat>
          <c:val>
            <c:numRef>
              <c:f>Pivot!$B$37:$B$40</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008C-4149-9F3C-BA6364CAF053}"/>
            </c:ext>
          </c:extLst>
        </c:ser>
        <c:ser>
          <c:idx val="1"/>
          <c:order val="1"/>
          <c:tx>
            <c:strRef>
              <c:f>Pivot!$C$35:$C$36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Pivot!$A$37:$A$40</c:f>
              <c:strCache>
                <c:ptCount val="3"/>
                <c:pt idx="0">
                  <c:v>Adolescent</c:v>
                </c:pt>
                <c:pt idx="1">
                  <c:v>Middle Age</c:v>
                </c:pt>
                <c:pt idx="2">
                  <c:v>Old</c:v>
                </c:pt>
              </c:strCache>
            </c:strRef>
          </c:cat>
          <c:val>
            <c:numRef>
              <c:f>Pivot!$C$37:$C$40</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008C-4149-9F3C-BA6364CAF053}"/>
            </c:ext>
          </c:extLst>
        </c:ser>
        <c:dLbls>
          <c:showLegendKey val="0"/>
          <c:showVal val="0"/>
          <c:showCatName val="0"/>
          <c:showSerName val="0"/>
          <c:showPercent val="0"/>
          <c:showBubbleSize val="0"/>
        </c:dLbls>
        <c:marker val="1"/>
        <c:smooth val="0"/>
        <c:axId val="613846016"/>
        <c:axId val="613846976"/>
      </c:lineChart>
      <c:catAx>
        <c:axId val="613846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46976"/>
        <c:crosses val="autoZero"/>
        <c:auto val="1"/>
        <c:lblAlgn val="ctr"/>
        <c:lblOffset val="100"/>
        <c:noMultiLvlLbl val="0"/>
      </c:catAx>
      <c:valAx>
        <c:axId val="61384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4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123825</xdr:colOff>
      <xdr:row>6</xdr:row>
      <xdr:rowOff>28575</xdr:rowOff>
    </xdr:from>
    <xdr:to>
      <xdr:col>11</xdr:col>
      <xdr:colOff>542924</xdr:colOff>
      <xdr:row>20</xdr:row>
      <xdr:rowOff>9525</xdr:rowOff>
    </xdr:to>
    <xdr:graphicFrame macro="">
      <xdr:nvGraphicFramePr>
        <xdr:cNvPr id="3" name="Chart 2">
          <a:extLst>
            <a:ext uri="{FF2B5EF4-FFF2-40B4-BE49-F238E27FC236}">
              <a16:creationId xmlns:a16="http://schemas.microsoft.com/office/drawing/2014/main" id="{6C9BC02D-F2AA-42C3-8B2F-4D59C11C0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95249</xdr:colOff>
      <xdr:row>20</xdr:row>
      <xdr:rowOff>57149</xdr:rowOff>
    </xdr:from>
    <xdr:to>
      <xdr:col>20</xdr:col>
      <xdr:colOff>561974</xdr:colOff>
      <xdr:row>35</xdr:row>
      <xdr:rowOff>38100</xdr:rowOff>
    </xdr:to>
    <xdr:graphicFrame macro="">
      <xdr:nvGraphicFramePr>
        <xdr:cNvPr id="4" name="Chart 3">
          <a:extLst>
            <a:ext uri="{FF2B5EF4-FFF2-40B4-BE49-F238E27FC236}">
              <a16:creationId xmlns:a16="http://schemas.microsoft.com/office/drawing/2014/main" id="{179390C9-4F61-4624-BB57-AC5352357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6</xdr:row>
      <xdr:rowOff>38099</xdr:rowOff>
    </xdr:from>
    <xdr:to>
      <xdr:col>20</xdr:col>
      <xdr:colOff>561975</xdr:colOff>
      <xdr:row>20</xdr:row>
      <xdr:rowOff>9524</xdr:rowOff>
    </xdr:to>
    <xdr:graphicFrame macro="">
      <xdr:nvGraphicFramePr>
        <xdr:cNvPr id="5" name="Chart 4">
          <a:extLst>
            <a:ext uri="{FF2B5EF4-FFF2-40B4-BE49-F238E27FC236}">
              <a16:creationId xmlns:a16="http://schemas.microsoft.com/office/drawing/2014/main" id="{CAC930A6-A0A4-4F43-AC44-06E978DAA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6</xdr:row>
      <xdr:rowOff>28575</xdr:rowOff>
    </xdr:from>
    <xdr:to>
      <xdr:col>3</xdr:col>
      <xdr:colOff>85725</xdr:colOff>
      <xdr:row>11</xdr:row>
      <xdr:rowOff>85725</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D6274C9B-A614-CCE0-75F5-9C70301C707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8575" y="1314450"/>
              <a:ext cx="188595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18</xdr:row>
      <xdr:rowOff>47625</xdr:rowOff>
    </xdr:from>
    <xdr:to>
      <xdr:col>3</xdr:col>
      <xdr:colOff>38100</xdr:colOff>
      <xdr:row>28</xdr:row>
      <xdr:rowOff>66675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CAFE2304-9A4B-FF4C-88FF-B7FED4A054C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8100" y="3619500"/>
              <a:ext cx="1828800" cy="192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11</xdr:row>
      <xdr:rowOff>104776</xdr:rowOff>
    </xdr:from>
    <xdr:to>
      <xdr:col>3</xdr:col>
      <xdr:colOff>57150</xdr:colOff>
      <xdr:row>18</xdr:row>
      <xdr:rowOff>9525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83A4E9DB-6F01-8C9F-B5E9-6D794B7A67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2343151"/>
              <a:ext cx="1847850" cy="1238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Pc" refreshedDate="46318.692572916669" createdVersion="8" refreshedVersion="8" minRefreshableVersion="3" recordCount="1026" xr:uid="{EE82D612-8520-463E-97F7-CBFE0B4AB884}">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43989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r>
    <n v="13507"/>
    <x v="0"/>
    <x v="0"/>
    <n v="10000"/>
    <n v="2"/>
    <x v="1"/>
    <x v="3"/>
    <s v="Yes"/>
    <n v="0"/>
    <x v="3"/>
    <x v="0"/>
    <x v="5"/>
    <x v="0"/>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964FEC-28A8-42E7-BC75-4BA244A07930}"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3:D108"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items count="6">
        <item h="1" x="1"/>
        <item h="1" x="4"/>
        <item h="1" x="3"/>
        <item h="1" x="2"/>
        <item x="0"/>
        <item t="default"/>
      </items>
    </pivotField>
    <pivotField showAll="0"/>
    <pivotField showAll="0"/>
    <pivotField showAll="0">
      <items count="6">
        <item x="0"/>
        <item x="4"/>
        <item x="3"/>
        <item x="1"/>
        <item x="2"/>
        <item t="default"/>
      </items>
    </pivotField>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10">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B0273A-1FC9-4CCE-AD13-5BA4186E20BD}"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items count="6">
        <item h="1" x="1"/>
        <item h="1" x="4"/>
        <item h="1" x="3"/>
        <item h="1" x="2"/>
        <item x="0"/>
        <item t="default"/>
      </items>
    </pivotField>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FE39D0-E723-40F5-BAD4-39FE6355D202}"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h="1" x="1"/>
        <item h="1" x="4"/>
        <item h="1" x="3"/>
        <item h="1"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3" baseItem="0" numFmtId="165"/>
  </dataFields>
  <chartFormats count="2">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FA5C74-C478-4157-BB21-7E8708E32BBF}"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D40"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items count="6">
        <item h="1" x="1"/>
        <item h="1" x="4"/>
        <item h="1" x="3"/>
        <item h="1" x="2"/>
        <item x="0"/>
        <item t="default"/>
      </items>
    </pivotField>
    <pivotField showAll="0"/>
    <pivotField showAll="0"/>
    <pivotField showAll="0">
      <items count="6">
        <item x="0"/>
        <item x="4"/>
        <item x="3"/>
        <item x="1"/>
        <item x="2"/>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8D62969-6C7F-4ED7-BA1C-A3D9C70D84FC}" sourceName="Marital Status">
  <pivotTables>
    <pivotTable tabId="5" name="PivotTable2"/>
    <pivotTable tabId="5" name="PivotTable1"/>
    <pivotTable tabId="5" name="PivotTable3"/>
    <pivotTable tabId="5" name="PivotTable4"/>
  </pivotTables>
  <data>
    <tabular pivotCacheId="18439891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0F7F856-1E88-4CD6-93CE-5933B02E8E0E}" sourceName="Education">
  <pivotTables>
    <pivotTable tabId="5" name="PivotTable2"/>
    <pivotTable tabId="5" name="PivotTable1"/>
    <pivotTable tabId="5" name="PivotTable3"/>
    <pivotTable tabId="5" name="PivotTable4"/>
  </pivotTables>
  <data>
    <tabular pivotCacheId="184398917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8917E6-2077-41D6-96F4-569700E62B73}" sourceName="Region">
  <pivotTables>
    <pivotTable tabId="5" name="PivotTable2"/>
    <pivotTable tabId="5" name="PivotTable1"/>
    <pivotTable tabId="5" name="PivotTable3"/>
    <pivotTable tabId="5" name="PivotTable4"/>
  </pivotTables>
  <data>
    <tabular pivotCacheId="18439891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9E3C637-9629-41C5-9CEB-03418FA28B2D}" cache="Slicer_Marital_Status" caption="Marital Status" rowHeight="241300"/>
  <slicer name="Education" xr10:uid="{CED23640-A5A5-46FA-824A-6278C31E24C6}" cache="Slicer_Education" caption="Education" rowHeight="241300"/>
  <slicer name="Region" xr10:uid="{971CDF2A-392E-47BC-9C2F-4B1F5FDAE11B}"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59E42-998B-412D-AF78-F852DBF84401}">
  <dimension ref="A1:N1027"/>
  <sheetViews>
    <sheetView workbookViewId="0">
      <selection activeCell="Q14" sqref="Q14"/>
    </sheetView>
  </sheetViews>
  <sheetFormatPr defaultColWidth="11.85546875" defaultRowHeight="15" x14ac:dyDescent="0.25"/>
  <cols>
    <col min="4" max="4" width="12.85546875" style="3" bestFit="1"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30</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30</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30</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30</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30</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30</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30</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30</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30</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30</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30</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30</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30</v>
      </c>
      <c r="K195" t="s">
        <v>24</v>
      </c>
      <c r="L195">
        <v>41</v>
      </c>
      <c r="M195" t="str">
        <f t="shared" ref="M195:M258" si="3">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30</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30</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30</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30</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30</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30</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30</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30</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30</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30</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30</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30</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30</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30</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30</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30</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30</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30</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30</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30</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30</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30</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30</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30</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30</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30</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30</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30</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30</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30</v>
      </c>
      <c r="K643" t="s">
        <v>32</v>
      </c>
      <c r="L643">
        <v>64</v>
      </c>
      <c r="M643" t="str">
        <f t="shared" ref="M643:M706" si="10">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30</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30</v>
      </c>
      <c r="K707" t="s">
        <v>32</v>
      </c>
      <c r="L707">
        <v>59</v>
      </c>
      <c r="M707" t="str">
        <f t="shared" ref="M707:M770" si="11">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30</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30</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30</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30</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30</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30</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30</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30</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30</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30</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30</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26"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30</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30</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30</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30</v>
      </c>
      <c r="K1001" t="s">
        <v>32</v>
      </c>
      <c r="L1001">
        <v>53</v>
      </c>
      <c r="M1001" t="str">
        <f t="shared" si="15"/>
        <v>Middle Age</v>
      </c>
      <c r="N1001" t="s">
        <v>15</v>
      </c>
    </row>
    <row r="1002" spans="1:14" x14ac:dyDescent="0.25">
      <c r="A1002">
        <v>13507</v>
      </c>
      <c r="B1002" t="s">
        <v>36</v>
      </c>
      <c r="C1002" t="s">
        <v>38</v>
      </c>
      <c r="D1002" s="3">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36</v>
      </c>
      <c r="C1003" t="s">
        <v>39</v>
      </c>
      <c r="D1003" s="3">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36</v>
      </c>
      <c r="C1004" t="s">
        <v>38</v>
      </c>
      <c r="D1004" s="3">
        <v>30000</v>
      </c>
      <c r="E1004">
        <v>3</v>
      </c>
      <c r="F1004" t="s">
        <v>27</v>
      </c>
      <c r="G1004" t="s">
        <v>14</v>
      </c>
      <c r="H1004" t="s">
        <v>18</v>
      </c>
      <c r="I1004">
        <v>2</v>
      </c>
      <c r="J1004" t="s">
        <v>26</v>
      </c>
      <c r="K1004" t="s">
        <v>24</v>
      </c>
      <c r="L1004">
        <v>54</v>
      </c>
      <c r="M1004" t="str">
        <f t="shared" si="15"/>
        <v>Middle Age</v>
      </c>
      <c r="N1004" t="s">
        <v>15</v>
      </c>
    </row>
    <row r="1005" spans="1:14" x14ac:dyDescent="0.25">
      <c r="A1005">
        <v>12697</v>
      </c>
      <c r="B1005" t="s">
        <v>37</v>
      </c>
      <c r="C1005" t="s">
        <v>38</v>
      </c>
      <c r="D1005" s="3">
        <v>90000</v>
      </c>
      <c r="E1005">
        <v>0</v>
      </c>
      <c r="F1005" t="s">
        <v>13</v>
      </c>
      <c r="G1005" t="s">
        <v>21</v>
      </c>
      <c r="H1005" t="s">
        <v>18</v>
      </c>
      <c r="I1005">
        <v>4</v>
      </c>
      <c r="J1005" t="s">
        <v>30</v>
      </c>
      <c r="K1005" t="s">
        <v>24</v>
      </c>
      <c r="L1005">
        <v>36</v>
      </c>
      <c r="M1005" t="str">
        <f t="shared" si="15"/>
        <v>Middle Age</v>
      </c>
      <c r="N1005" t="s">
        <v>18</v>
      </c>
    </row>
    <row r="1006" spans="1:14" x14ac:dyDescent="0.25">
      <c r="A1006">
        <v>11434</v>
      </c>
      <c r="B1006" t="s">
        <v>36</v>
      </c>
      <c r="C1006" t="s">
        <v>39</v>
      </c>
      <c r="D1006" s="3">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36</v>
      </c>
      <c r="C1007" t="s">
        <v>39</v>
      </c>
      <c r="D1007" s="3">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37</v>
      </c>
      <c r="C1008" t="s">
        <v>39</v>
      </c>
      <c r="D1008" s="3">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37</v>
      </c>
      <c r="C1009" t="s">
        <v>38</v>
      </c>
      <c r="D1009" s="3">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37</v>
      </c>
      <c r="C1010" t="s">
        <v>39</v>
      </c>
      <c r="D1010" s="3">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36</v>
      </c>
      <c r="C1011" t="s">
        <v>38</v>
      </c>
      <c r="D1011" s="3">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37</v>
      </c>
      <c r="C1012" t="s">
        <v>39</v>
      </c>
      <c r="D1012" s="3">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37</v>
      </c>
      <c r="C1013" t="s">
        <v>39</v>
      </c>
      <c r="D1013" s="3">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36</v>
      </c>
      <c r="C1014" t="s">
        <v>38</v>
      </c>
      <c r="D1014" s="3">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37</v>
      </c>
      <c r="C1015" t="s">
        <v>38</v>
      </c>
      <c r="D1015" s="3">
        <v>80000</v>
      </c>
      <c r="E1015">
        <v>0</v>
      </c>
      <c r="F1015" t="s">
        <v>13</v>
      </c>
      <c r="G1015" t="s">
        <v>21</v>
      </c>
      <c r="H1015" t="s">
        <v>15</v>
      </c>
      <c r="I1015">
        <v>4</v>
      </c>
      <c r="J1015" t="s">
        <v>30</v>
      </c>
      <c r="K1015" t="s">
        <v>24</v>
      </c>
      <c r="L1015">
        <v>35</v>
      </c>
      <c r="M1015" t="str">
        <f t="shared" si="15"/>
        <v>Middle Age</v>
      </c>
      <c r="N1015" t="s">
        <v>18</v>
      </c>
    </row>
    <row r="1016" spans="1:14" x14ac:dyDescent="0.25">
      <c r="A1016">
        <v>19193</v>
      </c>
      <c r="B1016" t="s">
        <v>37</v>
      </c>
      <c r="C1016" t="s">
        <v>39</v>
      </c>
      <c r="D1016" s="3">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36</v>
      </c>
      <c r="C1017" t="s">
        <v>38</v>
      </c>
      <c r="D1017" s="3">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37</v>
      </c>
      <c r="C1018" t="s">
        <v>39</v>
      </c>
      <c r="D1018" s="3">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37</v>
      </c>
      <c r="C1019" t="s">
        <v>39</v>
      </c>
      <c r="D1019" s="3">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37</v>
      </c>
      <c r="C1020" t="s">
        <v>39</v>
      </c>
      <c r="D1020" s="3">
        <v>30000</v>
      </c>
      <c r="E1020">
        <v>0</v>
      </c>
      <c r="F1020" t="s">
        <v>19</v>
      </c>
      <c r="G1020" t="s">
        <v>20</v>
      </c>
      <c r="H1020" t="s">
        <v>18</v>
      </c>
      <c r="I1020">
        <v>1</v>
      </c>
      <c r="J1020" t="s">
        <v>16</v>
      </c>
      <c r="K1020" t="s">
        <v>17</v>
      </c>
      <c r="L1020">
        <v>29</v>
      </c>
      <c r="M1020" t="str">
        <f t="shared" si="15"/>
        <v>Adolescent</v>
      </c>
      <c r="N1020" t="s">
        <v>15</v>
      </c>
    </row>
    <row r="1021" spans="1:14" x14ac:dyDescent="0.25">
      <c r="A1021">
        <v>18283</v>
      </c>
      <c r="B1021" t="s">
        <v>37</v>
      </c>
      <c r="C1021" t="s">
        <v>38</v>
      </c>
      <c r="D1021" s="3">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36</v>
      </c>
      <c r="C1022" t="s">
        <v>39</v>
      </c>
      <c r="D1022" s="3">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37</v>
      </c>
      <c r="C1023" t="s">
        <v>38</v>
      </c>
      <c r="D1023" s="3">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36</v>
      </c>
      <c r="C1024" t="s">
        <v>38</v>
      </c>
      <c r="D1024" s="3">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36</v>
      </c>
      <c r="C1025" t="s">
        <v>39</v>
      </c>
      <c r="D1025" s="3">
        <v>10000</v>
      </c>
      <c r="E1025">
        <v>0</v>
      </c>
      <c r="F1025" t="s">
        <v>19</v>
      </c>
      <c r="G1025" t="s">
        <v>25</v>
      </c>
      <c r="H1025" t="s">
        <v>18</v>
      </c>
      <c r="I1025">
        <v>1</v>
      </c>
      <c r="J1025" t="s">
        <v>16</v>
      </c>
      <c r="K1025" t="s">
        <v>24</v>
      </c>
      <c r="L1025">
        <v>26</v>
      </c>
      <c r="M1025" t="str">
        <f t="shared" si="15"/>
        <v>Adolescent</v>
      </c>
      <c r="N1025" t="s">
        <v>15</v>
      </c>
    </row>
    <row r="1026" spans="1:14" x14ac:dyDescent="0.25">
      <c r="A1026">
        <v>20942</v>
      </c>
      <c r="B1026" t="s">
        <v>37</v>
      </c>
      <c r="C1026" t="s">
        <v>38</v>
      </c>
      <c r="D1026" s="3">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37</v>
      </c>
      <c r="C1027" t="s">
        <v>39</v>
      </c>
      <c r="D1027" s="3">
        <v>80000</v>
      </c>
      <c r="E1027">
        <v>2</v>
      </c>
      <c r="F1027" t="s">
        <v>27</v>
      </c>
      <c r="G1027" t="s">
        <v>14</v>
      </c>
      <c r="H1027" t="s">
        <v>18</v>
      </c>
      <c r="I1027">
        <v>2</v>
      </c>
      <c r="J1027" t="s">
        <v>26</v>
      </c>
      <c r="K1027" t="s">
        <v>24</v>
      </c>
      <c r="L1027">
        <v>50</v>
      </c>
      <c r="M1027" t="str">
        <f t="shared" ref="M1027" si="16">IF(L1027&gt;54,"Old",IF(L1027&gt;=31,"Middle Age",IF(L1027&lt;31,"Adolescent","Invalid")))</f>
        <v>Middle Age</v>
      </c>
      <c r="N1027" t="s">
        <v>15</v>
      </c>
    </row>
  </sheetData>
  <autoFilter ref="A1:N1" xr:uid="{40959E42-998B-412D-AF78-F852DBF844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55A75-04EB-4248-923C-8B42B82BF3CA}">
  <dimension ref="A2:D108"/>
  <sheetViews>
    <sheetView workbookViewId="0">
      <selection activeCell="A53" sqref="A53:D10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2" spans="1:4" x14ac:dyDescent="0.25">
      <c r="A2" s="4" t="s">
        <v>43</v>
      </c>
      <c r="B2" s="4" t="s">
        <v>44</v>
      </c>
    </row>
    <row r="3" spans="1:4" x14ac:dyDescent="0.25">
      <c r="A3" s="4" t="s">
        <v>41</v>
      </c>
      <c r="B3" t="s">
        <v>18</v>
      </c>
      <c r="C3" t="s">
        <v>15</v>
      </c>
      <c r="D3" t="s">
        <v>42</v>
      </c>
    </row>
    <row r="4" spans="1:4" x14ac:dyDescent="0.25">
      <c r="A4" s="5" t="s">
        <v>38</v>
      </c>
      <c r="B4" s="3">
        <v>53449.612403100778</v>
      </c>
      <c r="C4" s="3">
        <v>55267.489711934155</v>
      </c>
      <c r="D4" s="3">
        <v>54331.337325349305</v>
      </c>
    </row>
    <row r="5" spans="1:4" x14ac:dyDescent="0.25">
      <c r="A5" s="5" t="s">
        <v>39</v>
      </c>
      <c r="B5" s="3">
        <v>56520.146520146518</v>
      </c>
      <c r="C5" s="3">
        <v>59603.174603174601</v>
      </c>
      <c r="D5" s="3">
        <v>58000</v>
      </c>
    </row>
    <row r="6" spans="1:4" x14ac:dyDescent="0.25">
      <c r="A6" s="5" t="s">
        <v>42</v>
      </c>
      <c r="B6" s="3">
        <v>55028.248587570619</v>
      </c>
      <c r="C6" s="3">
        <v>57474.747474747477</v>
      </c>
      <c r="D6" s="3">
        <v>56208.576998050681</v>
      </c>
    </row>
    <row r="20" spans="1:4" x14ac:dyDescent="0.25">
      <c r="A20" s="4" t="s">
        <v>45</v>
      </c>
      <c r="B20" s="4" t="s">
        <v>44</v>
      </c>
    </row>
    <row r="21" spans="1:4" x14ac:dyDescent="0.25">
      <c r="A21" s="4" t="s">
        <v>41</v>
      </c>
      <c r="B21" t="s">
        <v>18</v>
      </c>
      <c r="C21" t="s">
        <v>15</v>
      </c>
      <c r="D21" t="s">
        <v>42</v>
      </c>
    </row>
    <row r="22" spans="1:4" x14ac:dyDescent="0.25">
      <c r="A22" s="5" t="s">
        <v>16</v>
      </c>
      <c r="B22" s="6">
        <v>171</v>
      </c>
      <c r="C22" s="6">
        <v>207</v>
      </c>
      <c r="D22" s="6">
        <v>378</v>
      </c>
    </row>
    <row r="23" spans="1:4" x14ac:dyDescent="0.25">
      <c r="A23" s="5" t="s">
        <v>30</v>
      </c>
      <c r="B23" s="6">
        <v>80</v>
      </c>
      <c r="C23" s="6">
        <v>33</v>
      </c>
      <c r="D23" s="6">
        <v>113</v>
      </c>
    </row>
    <row r="24" spans="1:4" x14ac:dyDescent="0.25">
      <c r="A24" s="5" t="s">
        <v>26</v>
      </c>
      <c r="B24" s="6">
        <v>93</v>
      </c>
      <c r="C24" s="6">
        <v>83</v>
      </c>
      <c r="D24" s="6">
        <v>176</v>
      </c>
    </row>
    <row r="25" spans="1:4" x14ac:dyDescent="0.25">
      <c r="A25" s="5" t="s">
        <v>22</v>
      </c>
      <c r="B25" s="6">
        <v>67</v>
      </c>
      <c r="C25" s="6">
        <v>95</v>
      </c>
      <c r="D25" s="6">
        <v>162</v>
      </c>
    </row>
    <row r="26" spans="1:4" x14ac:dyDescent="0.25">
      <c r="A26" s="5" t="s">
        <v>23</v>
      </c>
      <c r="B26" s="6">
        <v>120</v>
      </c>
      <c r="C26" s="6">
        <v>77</v>
      </c>
      <c r="D26" s="6">
        <v>197</v>
      </c>
    </row>
    <row r="27" spans="1:4" x14ac:dyDescent="0.25">
      <c r="A27" s="5" t="s">
        <v>42</v>
      </c>
      <c r="B27" s="6">
        <v>531</v>
      </c>
      <c r="C27" s="6">
        <v>495</v>
      </c>
      <c r="D27" s="6">
        <v>1026</v>
      </c>
    </row>
    <row r="35" spans="1:4" x14ac:dyDescent="0.25">
      <c r="A35" s="4" t="s">
        <v>45</v>
      </c>
      <c r="B35" s="4" t="s">
        <v>44</v>
      </c>
    </row>
    <row r="36" spans="1:4" x14ac:dyDescent="0.25">
      <c r="A36" s="4" t="s">
        <v>41</v>
      </c>
      <c r="B36" t="s">
        <v>18</v>
      </c>
      <c r="C36" t="s">
        <v>15</v>
      </c>
      <c r="D36" t="s">
        <v>42</v>
      </c>
    </row>
    <row r="37" spans="1:4" x14ac:dyDescent="0.25">
      <c r="A37" s="5" t="s">
        <v>46</v>
      </c>
      <c r="B37" s="6">
        <v>71</v>
      </c>
      <c r="C37" s="6">
        <v>41</v>
      </c>
      <c r="D37" s="6">
        <v>112</v>
      </c>
    </row>
    <row r="38" spans="1:4" x14ac:dyDescent="0.25">
      <c r="A38" s="5" t="s">
        <v>47</v>
      </c>
      <c r="B38" s="6">
        <v>326</v>
      </c>
      <c r="C38" s="6">
        <v>393</v>
      </c>
      <c r="D38" s="6">
        <v>719</v>
      </c>
    </row>
    <row r="39" spans="1:4" x14ac:dyDescent="0.25">
      <c r="A39" s="5" t="s">
        <v>48</v>
      </c>
      <c r="B39" s="6">
        <v>134</v>
      </c>
      <c r="C39" s="6">
        <v>61</v>
      </c>
      <c r="D39" s="6">
        <v>195</v>
      </c>
    </row>
    <row r="40" spans="1:4" x14ac:dyDescent="0.25">
      <c r="A40" s="5" t="s">
        <v>42</v>
      </c>
      <c r="B40" s="6">
        <v>531</v>
      </c>
      <c r="C40" s="6">
        <v>495</v>
      </c>
      <c r="D40" s="6">
        <v>1026</v>
      </c>
    </row>
    <row r="53" spans="1:4" x14ac:dyDescent="0.25">
      <c r="A53" s="4" t="s">
        <v>45</v>
      </c>
      <c r="B53" s="4" t="s">
        <v>44</v>
      </c>
    </row>
    <row r="54" spans="1:4" x14ac:dyDescent="0.25">
      <c r="A54" s="4" t="s">
        <v>41</v>
      </c>
      <c r="B54" t="s">
        <v>18</v>
      </c>
      <c r="C54" t="s">
        <v>15</v>
      </c>
      <c r="D54" t="s">
        <v>42</v>
      </c>
    </row>
    <row r="55" spans="1:4" x14ac:dyDescent="0.25">
      <c r="A55" s="5">
        <v>25</v>
      </c>
      <c r="B55" s="6">
        <v>2</v>
      </c>
      <c r="C55" s="6">
        <v>4</v>
      </c>
      <c r="D55" s="6">
        <v>6</v>
      </c>
    </row>
    <row r="56" spans="1:4" x14ac:dyDescent="0.25">
      <c r="A56" s="5">
        <v>26</v>
      </c>
      <c r="B56" s="6">
        <v>8</v>
      </c>
      <c r="C56" s="6">
        <v>9</v>
      </c>
      <c r="D56" s="6">
        <v>17</v>
      </c>
    </row>
    <row r="57" spans="1:4" x14ac:dyDescent="0.25">
      <c r="A57" s="5">
        <v>27</v>
      </c>
      <c r="B57" s="6">
        <v>15</v>
      </c>
      <c r="C57" s="6">
        <v>8</v>
      </c>
      <c r="D57" s="6">
        <v>23</v>
      </c>
    </row>
    <row r="58" spans="1:4" x14ac:dyDescent="0.25">
      <c r="A58" s="5">
        <v>28</v>
      </c>
      <c r="B58" s="6">
        <v>12</v>
      </c>
      <c r="C58" s="6">
        <v>10</v>
      </c>
      <c r="D58" s="6">
        <v>22</v>
      </c>
    </row>
    <row r="59" spans="1:4" x14ac:dyDescent="0.25">
      <c r="A59" s="5">
        <v>29</v>
      </c>
      <c r="B59" s="6">
        <v>11</v>
      </c>
      <c r="C59" s="6">
        <v>6</v>
      </c>
      <c r="D59" s="6">
        <v>17</v>
      </c>
    </row>
    <row r="60" spans="1:4" x14ac:dyDescent="0.25">
      <c r="A60" s="5">
        <v>30</v>
      </c>
      <c r="B60" s="6">
        <v>23</v>
      </c>
      <c r="C60" s="6">
        <v>4</v>
      </c>
      <c r="D60" s="6">
        <v>27</v>
      </c>
    </row>
    <row r="61" spans="1:4" x14ac:dyDescent="0.25">
      <c r="A61" s="5">
        <v>31</v>
      </c>
      <c r="B61" s="6">
        <v>18</v>
      </c>
      <c r="C61" s="6">
        <v>8</v>
      </c>
      <c r="D61" s="6">
        <v>26</v>
      </c>
    </row>
    <row r="62" spans="1:4" x14ac:dyDescent="0.25">
      <c r="A62" s="5">
        <v>32</v>
      </c>
      <c r="B62" s="6">
        <v>19</v>
      </c>
      <c r="C62" s="6">
        <v>15</v>
      </c>
      <c r="D62" s="6">
        <v>34</v>
      </c>
    </row>
    <row r="63" spans="1:4" x14ac:dyDescent="0.25">
      <c r="A63" s="5">
        <v>33</v>
      </c>
      <c r="B63" s="6">
        <v>8</v>
      </c>
      <c r="C63" s="6">
        <v>13</v>
      </c>
      <c r="D63" s="6">
        <v>21</v>
      </c>
    </row>
    <row r="64" spans="1:4" x14ac:dyDescent="0.25">
      <c r="A64" s="5">
        <v>34</v>
      </c>
      <c r="B64" s="6">
        <v>13</v>
      </c>
      <c r="C64" s="6">
        <v>19</v>
      </c>
      <c r="D64" s="6">
        <v>32</v>
      </c>
    </row>
    <row r="65" spans="1:4" x14ac:dyDescent="0.25">
      <c r="A65" s="5">
        <v>35</v>
      </c>
      <c r="B65" s="6">
        <v>15</v>
      </c>
      <c r="C65" s="6">
        <v>25</v>
      </c>
      <c r="D65" s="6">
        <v>40</v>
      </c>
    </row>
    <row r="66" spans="1:4" x14ac:dyDescent="0.25">
      <c r="A66" s="5">
        <v>36</v>
      </c>
      <c r="B66" s="6">
        <v>8</v>
      </c>
      <c r="C66" s="6">
        <v>31</v>
      </c>
      <c r="D66" s="6">
        <v>39</v>
      </c>
    </row>
    <row r="67" spans="1:4" x14ac:dyDescent="0.25">
      <c r="A67" s="5">
        <v>37</v>
      </c>
      <c r="B67" s="6">
        <v>4</v>
      </c>
      <c r="C67" s="6">
        <v>28</v>
      </c>
      <c r="D67" s="6">
        <v>32</v>
      </c>
    </row>
    <row r="68" spans="1:4" x14ac:dyDescent="0.25">
      <c r="A68" s="5">
        <v>38</v>
      </c>
      <c r="B68" s="6">
        <v>8</v>
      </c>
      <c r="C68" s="6">
        <v>30</v>
      </c>
      <c r="D68" s="6">
        <v>38</v>
      </c>
    </row>
    <row r="69" spans="1:4" x14ac:dyDescent="0.25">
      <c r="A69" s="5">
        <v>39</v>
      </c>
      <c r="B69" s="6">
        <v>10</v>
      </c>
      <c r="C69" s="6">
        <v>12</v>
      </c>
      <c r="D69" s="6">
        <v>22</v>
      </c>
    </row>
    <row r="70" spans="1:4" x14ac:dyDescent="0.25">
      <c r="A70" s="5">
        <v>40</v>
      </c>
      <c r="B70" s="6">
        <v>25</v>
      </c>
      <c r="C70" s="6">
        <v>19</v>
      </c>
      <c r="D70" s="6">
        <v>44</v>
      </c>
    </row>
    <row r="71" spans="1:4" x14ac:dyDescent="0.25">
      <c r="A71" s="5">
        <v>41</v>
      </c>
      <c r="B71" s="6">
        <v>13</v>
      </c>
      <c r="C71" s="6">
        <v>15</v>
      </c>
      <c r="D71" s="6">
        <v>28</v>
      </c>
    </row>
    <row r="72" spans="1:4" x14ac:dyDescent="0.25">
      <c r="A72" s="5">
        <v>42</v>
      </c>
      <c r="B72" s="6">
        <v>22</v>
      </c>
      <c r="C72" s="6">
        <v>12</v>
      </c>
      <c r="D72" s="6">
        <v>34</v>
      </c>
    </row>
    <row r="73" spans="1:4" x14ac:dyDescent="0.25">
      <c r="A73" s="5">
        <v>43</v>
      </c>
      <c r="B73" s="6">
        <v>17</v>
      </c>
      <c r="C73" s="6">
        <v>19</v>
      </c>
      <c r="D73" s="6">
        <v>36</v>
      </c>
    </row>
    <row r="74" spans="1:4" x14ac:dyDescent="0.25">
      <c r="A74" s="5">
        <v>44</v>
      </c>
      <c r="B74" s="6">
        <v>16</v>
      </c>
      <c r="C74" s="6">
        <v>12</v>
      </c>
      <c r="D74" s="6">
        <v>28</v>
      </c>
    </row>
    <row r="75" spans="1:4" x14ac:dyDescent="0.25">
      <c r="A75" s="5">
        <v>45</v>
      </c>
      <c r="B75" s="6">
        <v>18</v>
      </c>
      <c r="C75" s="6">
        <v>14</v>
      </c>
      <c r="D75" s="6">
        <v>32</v>
      </c>
    </row>
    <row r="76" spans="1:4" x14ac:dyDescent="0.25">
      <c r="A76" s="5">
        <v>46</v>
      </c>
      <c r="B76" s="6">
        <v>12</v>
      </c>
      <c r="C76" s="6">
        <v>15</v>
      </c>
      <c r="D76" s="6">
        <v>27</v>
      </c>
    </row>
    <row r="77" spans="1:4" x14ac:dyDescent="0.25">
      <c r="A77" s="5">
        <v>47</v>
      </c>
      <c r="B77" s="6">
        <v>20</v>
      </c>
      <c r="C77" s="6">
        <v>20</v>
      </c>
      <c r="D77" s="6">
        <v>40</v>
      </c>
    </row>
    <row r="78" spans="1:4" x14ac:dyDescent="0.25">
      <c r="A78" s="5">
        <v>48</v>
      </c>
      <c r="B78" s="6">
        <v>16</v>
      </c>
      <c r="C78" s="6">
        <v>13</v>
      </c>
      <c r="D78" s="6">
        <v>29</v>
      </c>
    </row>
    <row r="79" spans="1:4" x14ac:dyDescent="0.25">
      <c r="A79" s="5">
        <v>49</v>
      </c>
      <c r="B79" s="6">
        <v>15</v>
      </c>
      <c r="C79" s="6">
        <v>8</v>
      </c>
      <c r="D79" s="6">
        <v>23</v>
      </c>
    </row>
    <row r="80" spans="1:4" x14ac:dyDescent="0.25">
      <c r="A80" s="5">
        <v>50</v>
      </c>
      <c r="B80" s="6">
        <v>13</v>
      </c>
      <c r="C80" s="6">
        <v>13</v>
      </c>
      <c r="D80" s="6">
        <v>26</v>
      </c>
    </row>
    <row r="81" spans="1:4" x14ac:dyDescent="0.25">
      <c r="A81" s="5">
        <v>51</v>
      </c>
      <c r="B81" s="6">
        <v>10</v>
      </c>
      <c r="C81" s="6">
        <v>12</v>
      </c>
      <c r="D81" s="6">
        <v>22</v>
      </c>
    </row>
    <row r="82" spans="1:4" x14ac:dyDescent="0.25">
      <c r="A82" s="5">
        <v>52</v>
      </c>
      <c r="B82" s="6">
        <v>10</v>
      </c>
      <c r="C82" s="6">
        <v>15</v>
      </c>
      <c r="D82" s="6">
        <v>25</v>
      </c>
    </row>
    <row r="83" spans="1:4" x14ac:dyDescent="0.25">
      <c r="A83" s="5">
        <v>53</v>
      </c>
      <c r="B83" s="6">
        <v>11</v>
      </c>
      <c r="C83" s="6">
        <v>13</v>
      </c>
      <c r="D83" s="6">
        <v>24</v>
      </c>
    </row>
    <row r="84" spans="1:4" x14ac:dyDescent="0.25">
      <c r="A84" s="5">
        <v>54</v>
      </c>
      <c r="B84" s="6">
        <v>5</v>
      </c>
      <c r="C84" s="6">
        <v>12</v>
      </c>
      <c r="D84" s="6">
        <v>17</v>
      </c>
    </row>
    <row r="85" spans="1:4" x14ac:dyDescent="0.25">
      <c r="A85" s="5">
        <v>55</v>
      </c>
      <c r="B85" s="6">
        <v>14</v>
      </c>
      <c r="C85" s="6">
        <v>6</v>
      </c>
      <c r="D85" s="6">
        <v>20</v>
      </c>
    </row>
    <row r="86" spans="1:4" x14ac:dyDescent="0.25">
      <c r="A86" s="5">
        <v>56</v>
      </c>
      <c r="B86" s="6">
        <v>14</v>
      </c>
      <c r="C86" s="6">
        <v>3</v>
      </c>
      <c r="D86" s="6">
        <v>17</v>
      </c>
    </row>
    <row r="87" spans="1:4" x14ac:dyDescent="0.25">
      <c r="A87" s="5">
        <v>57</v>
      </c>
      <c r="B87" s="6">
        <v>4</v>
      </c>
      <c r="C87" s="6">
        <v>4</v>
      </c>
      <c r="D87" s="6">
        <v>8</v>
      </c>
    </row>
    <row r="88" spans="1:4" x14ac:dyDescent="0.25">
      <c r="A88" s="5">
        <v>58</v>
      </c>
      <c r="B88" s="6">
        <v>8</v>
      </c>
      <c r="C88" s="6">
        <v>4</v>
      </c>
      <c r="D88" s="6">
        <v>12</v>
      </c>
    </row>
    <row r="89" spans="1:4" x14ac:dyDescent="0.25">
      <c r="A89" s="5">
        <v>59</v>
      </c>
      <c r="B89" s="6">
        <v>14</v>
      </c>
      <c r="C89" s="6">
        <v>7</v>
      </c>
      <c r="D89" s="6">
        <v>21</v>
      </c>
    </row>
    <row r="90" spans="1:4" x14ac:dyDescent="0.25">
      <c r="A90" s="5">
        <v>60</v>
      </c>
      <c r="B90" s="6">
        <v>8</v>
      </c>
      <c r="C90" s="6">
        <v>7</v>
      </c>
      <c r="D90" s="6">
        <v>15</v>
      </c>
    </row>
    <row r="91" spans="1:4" x14ac:dyDescent="0.25">
      <c r="A91" s="5">
        <v>61</v>
      </c>
      <c r="B91" s="6">
        <v>5</v>
      </c>
      <c r="C91" s="6">
        <v>4</v>
      </c>
      <c r="D91" s="6">
        <v>9</v>
      </c>
    </row>
    <row r="92" spans="1:4" x14ac:dyDescent="0.25">
      <c r="A92" s="5">
        <v>62</v>
      </c>
      <c r="B92" s="6">
        <v>9</v>
      </c>
      <c r="C92" s="6">
        <v>4</v>
      </c>
      <c r="D92" s="6">
        <v>13</v>
      </c>
    </row>
    <row r="93" spans="1:4" x14ac:dyDescent="0.25">
      <c r="A93" s="5">
        <v>63</v>
      </c>
      <c r="B93" s="6">
        <v>9</v>
      </c>
      <c r="C93" s="6">
        <v>2</v>
      </c>
      <c r="D93" s="6">
        <v>11</v>
      </c>
    </row>
    <row r="94" spans="1:4" x14ac:dyDescent="0.25">
      <c r="A94" s="5">
        <v>64</v>
      </c>
      <c r="B94" s="6">
        <v>7</v>
      </c>
      <c r="C94" s="6">
        <v>3</v>
      </c>
      <c r="D94" s="6">
        <v>10</v>
      </c>
    </row>
    <row r="95" spans="1:4" x14ac:dyDescent="0.25">
      <c r="A95" s="5">
        <v>65</v>
      </c>
      <c r="B95" s="6">
        <v>6</v>
      </c>
      <c r="C95" s="6">
        <v>3</v>
      </c>
      <c r="D95" s="6">
        <v>9</v>
      </c>
    </row>
    <row r="96" spans="1:4" x14ac:dyDescent="0.25">
      <c r="A96" s="5">
        <v>66</v>
      </c>
      <c r="B96" s="6">
        <v>8</v>
      </c>
      <c r="C96" s="6">
        <v>6</v>
      </c>
      <c r="D96" s="6">
        <v>14</v>
      </c>
    </row>
    <row r="97" spans="1:4" x14ac:dyDescent="0.25">
      <c r="A97" s="5">
        <v>67</v>
      </c>
      <c r="B97" s="6">
        <v>8</v>
      </c>
      <c r="C97" s="6">
        <v>2</v>
      </c>
      <c r="D97" s="6">
        <v>10</v>
      </c>
    </row>
    <row r="98" spans="1:4" x14ac:dyDescent="0.25">
      <c r="A98" s="5">
        <v>68</v>
      </c>
      <c r="B98" s="6">
        <v>3</v>
      </c>
      <c r="C98" s="6"/>
      <c r="D98" s="6">
        <v>3</v>
      </c>
    </row>
    <row r="99" spans="1:4" x14ac:dyDescent="0.25">
      <c r="A99" s="5">
        <v>69</v>
      </c>
      <c r="B99" s="6">
        <v>8</v>
      </c>
      <c r="C99" s="6"/>
      <c r="D99" s="6">
        <v>8</v>
      </c>
    </row>
    <row r="100" spans="1:4" x14ac:dyDescent="0.25">
      <c r="A100" s="5">
        <v>70</v>
      </c>
      <c r="B100" s="6">
        <v>3</v>
      </c>
      <c r="C100" s="6">
        <v>1</v>
      </c>
      <c r="D100" s="6">
        <v>4</v>
      </c>
    </row>
    <row r="101" spans="1:4" x14ac:dyDescent="0.25">
      <c r="A101" s="5">
        <v>71</v>
      </c>
      <c r="B101" s="6">
        <v>1</v>
      </c>
      <c r="C101" s="6"/>
      <c r="D101" s="6">
        <v>1</v>
      </c>
    </row>
    <row r="102" spans="1:4" x14ac:dyDescent="0.25">
      <c r="A102" s="5">
        <v>72</v>
      </c>
      <c r="B102" s="6"/>
      <c r="C102" s="6">
        <v>1</v>
      </c>
      <c r="D102" s="6">
        <v>1</v>
      </c>
    </row>
    <row r="103" spans="1:4" x14ac:dyDescent="0.25">
      <c r="A103" s="5">
        <v>73</v>
      </c>
      <c r="B103" s="6">
        <v>2</v>
      </c>
      <c r="C103" s="6">
        <v>2</v>
      </c>
      <c r="D103" s="6">
        <v>4</v>
      </c>
    </row>
    <row r="104" spans="1:4" x14ac:dyDescent="0.25">
      <c r="A104" s="5">
        <v>74</v>
      </c>
      <c r="B104" s="6"/>
      <c r="C104" s="6">
        <v>1</v>
      </c>
      <c r="D104" s="6">
        <v>1</v>
      </c>
    </row>
    <row r="105" spans="1:4" x14ac:dyDescent="0.25">
      <c r="A105" s="5">
        <v>78</v>
      </c>
      <c r="B105" s="6">
        <v>1</v>
      </c>
      <c r="C105" s="6">
        <v>1</v>
      </c>
      <c r="D105" s="6">
        <v>2</v>
      </c>
    </row>
    <row r="106" spans="1:4" x14ac:dyDescent="0.25">
      <c r="A106" s="5">
        <v>80</v>
      </c>
      <c r="B106" s="6">
        <v>1</v>
      </c>
      <c r="C106" s="6"/>
      <c r="D106" s="6">
        <v>1</v>
      </c>
    </row>
    <row r="107" spans="1:4" x14ac:dyDescent="0.25">
      <c r="A107" s="5">
        <v>89</v>
      </c>
      <c r="B107" s="6">
        <v>1</v>
      </c>
      <c r="C107" s="6"/>
      <c r="D107" s="6">
        <v>1</v>
      </c>
    </row>
    <row r="108" spans="1:4" x14ac:dyDescent="0.25">
      <c r="A108" s="5" t="s">
        <v>42</v>
      </c>
      <c r="B108" s="6">
        <v>531</v>
      </c>
      <c r="C108" s="6">
        <v>495</v>
      </c>
      <c r="D108" s="6">
        <v>1026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846E4-A39C-4A3B-89C7-51A792E0AFCD}">
  <dimension ref="A1:U6"/>
  <sheetViews>
    <sheetView tabSelected="1" workbookViewId="0">
      <selection activeCell="Z7" sqref="Z7"/>
    </sheetView>
  </sheetViews>
  <sheetFormatPr defaultRowHeight="15" x14ac:dyDescent="0.25"/>
  <cols>
    <col min="1" max="16384" width="9.140625" style="7"/>
  </cols>
  <sheetData>
    <row r="1" spans="1:21" ht="15" customHeight="1" x14ac:dyDescent="0.25">
      <c r="A1" s="8" t="s">
        <v>49</v>
      </c>
      <c r="B1" s="8"/>
      <c r="C1" s="8"/>
      <c r="D1" s="8"/>
      <c r="E1" s="8"/>
      <c r="F1" s="8"/>
      <c r="G1" s="8"/>
      <c r="H1" s="8"/>
      <c r="I1" s="8"/>
      <c r="J1" s="8"/>
      <c r="K1" s="8"/>
      <c r="L1" s="8"/>
      <c r="M1" s="8"/>
      <c r="N1" s="8"/>
      <c r="O1" s="8"/>
      <c r="P1" s="8"/>
      <c r="Q1" s="8"/>
      <c r="R1" s="8"/>
      <c r="S1" s="8"/>
      <c r="T1" s="8"/>
      <c r="U1" s="8"/>
    </row>
    <row r="2" spans="1:21" ht="15" customHeight="1" x14ac:dyDescent="0.25">
      <c r="A2" s="8"/>
      <c r="B2" s="8"/>
      <c r="C2" s="8"/>
      <c r="D2" s="8"/>
      <c r="E2" s="8"/>
      <c r="F2" s="8"/>
      <c r="G2" s="8"/>
      <c r="H2" s="8"/>
      <c r="I2" s="8"/>
      <c r="J2" s="8"/>
      <c r="K2" s="8"/>
      <c r="L2" s="8"/>
      <c r="M2" s="8"/>
      <c r="N2" s="8"/>
      <c r="O2" s="8"/>
      <c r="P2" s="8"/>
      <c r="Q2" s="8"/>
      <c r="R2" s="8"/>
      <c r="S2" s="8"/>
      <c r="T2" s="8"/>
      <c r="U2" s="8"/>
    </row>
    <row r="3" spans="1:21" ht="26.25" customHeight="1" x14ac:dyDescent="0.25">
      <c r="A3" s="8"/>
      <c r="B3" s="8"/>
      <c r="C3" s="8"/>
      <c r="D3" s="8"/>
      <c r="E3" s="8"/>
      <c r="F3" s="8"/>
      <c r="G3" s="8"/>
      <c r="H3" s="8"/>
      <c r="I3" s="8"/>
      <c r="J3" s="8"/>
      <c r="K3" s="8"/>
      <c r="L3" s="8"/>
      <c r="M3" s="8"/>
      <c r="N3" s="8"/>
      <c r="O3" s="8"/>
      <c r="P3" s="8"/>
      <c r="Q3" s="8"/>
      <c r="R3" s="8"/>
      <c r="S3" s="8"/>
      <c r="T3" s="8"/>
      <c r="U3" s="8"/>
    </row>
    <row r="4" spans="1:21" ht="15" customHeight="1" x14ac:dyDescent="0.25">
      <c r="A4" s="8"/>
      <c r="B4" s="8"/>
      <c r="C4" s="8"/>
      <c r="D4" s="8"/>
      <c r="E4" s="8"/>
      <c r="F4" s="8"/>
      <c r="G4" s="8"/>
      <c r="H4" s="8"/>
      <c r="I4" s="8"/>
      <c r="J4" s="8"/>
      <c r="K4" s="8"/>
      <c r="L4" s="8"/>
      <c r="M4" s="8"/>
      <c r="N4" s="8"/>
      <c r="O4" s="8"/>
      <c r="P4" s="8"/>
      <c r="Q4" s="8"/>
      <c r="R4" s="8"/>
      <c r="S4" s="8"/>
      <c r="T4" s="8"/>
      <c r="U4" s="8"/>
    </row>
    <row r="5" spans="1:21" ht="15" customHeight="1" x14ac:dyDescent="0.25">
      <c r="A5" s="8"/>
      <c r="B5" s="8"/>
      <c r="C5" s="8"/>
      <c r="D5" s="8"/>
      <c r="E5" s="8"/>
      <c r="F5" s="8"/>
      <c r="G5" s="8"/>
      <c r="H5" s="8"/>
      <c r="I5" s="8"/>
      <c r="J5" s="8"/>
      <c r="K5" s="8"/>
      <c r="L5" s="8"/>
      <c r="M5" s="8"/>
      <c r="N5" s="8"/>
      <c r="O5" s="8"/>
      <c r="P5" s="8"/>
      <c r="Q5" s="8"/>
      <c r="R5" s="8"/>
      <c r="S5" s="8"/>
      <c r="T5" s="8"/>
      <c r="U5" s="8"/>
    </row>
    <row r="6" spans="1:21" ht="15" customHeight="1" x14ac:dyDescent="0.25">
      <c r="A6" s="8"/>
      <c r="B6" s="8"/>
      <c r="C6" s="8"/>
      <c r="D6" s="8"/>
      <c r="E6" s="8"/>
      <c r="F6" s="8"/>
      <c r="G6" s="8"/>
      <c r="H6" s="8"/>
      <c r="I6" s="8"/>
      <c r="J6" s="8"/>
      <c r="K6" s="8"/>
      <c r="L6" s="8"/>
      <c r="M6" s="8"/>
      <c r="N6" s="8"/>
      <c r="O6" s="8"/>
      <c r="P6" s="8"/>
      <c r="Q6" s="8"/>
      <c r="R6" s="8"/>
      <c r="S6" s="8"/>
      <c r="T6" s="8"/>
      <c r="U6" s="8"/>
    </row>
  </sheetData>
  <mergeCells count="1">
    <mergeCell ref="A1:U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VISHAL SINGH</cp:lastModifiedBy>
  <dcterms:created xsi:type="dcterms:W3CDTF">2022-03-18T02:50:57Z</dcterms:created>
  <dcterms:modified xsi:type="dcterms:W3CDTF">2026-10-24T13:20:21Z</dcterms:modified>
</cp:coreProperties>
</file>